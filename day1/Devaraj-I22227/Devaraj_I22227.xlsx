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tabRatio="500" activeTab="1"/>
  </bookViews>
  <sheets>
    <sheet name="Roles &amp; Access" sheetId="1" r:id="rId1"/>
    <sheet name="Role KPIs" sheetId="2" r:id="rId2"/>
  </sheets>
  <definedNames>
    <definedName name="_xlnm._FilterDatabase" localSheetId="1" hidden="1">'Role KPIs'!$A$4:$D$52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<sst xmlns="http://schemas.openxmlformats.org/spreadsheetml/2006/main" count="175" uniqueCount="77">
  <si>
    <t>Role</t>
  </si>
  <si>
    <t>Main Responsibility</t>
  </si>
  <si>
    <t>Data Access</t>
  </si>
  <si>
    <t>Management / Head Office</t>
  </si>
  <si>
    <t>Overall business monitoring and decision-making</t>
  </si>
  <si>
    <t>All 4 Plants + 10 Warehouses</t>
  </si>
  <si>
    <t>Plant Manager</t>
  </si>
  <si>
    <t>Monitor production and plant performance</t>
  </si>
  <si>
    <t>Own Manufacturing Plant</t>
  </si>
  <si>
    <t>Warehouse Manager</t>
  </si>
  <si>
    <t>Monitor inventory, stock movement and warehouse operations</t>
  </si>
  <si>
    <t>Own Warehouse</t>
  </si>
  <si>
    <t>Supply Chain Manager</t>
  </si>
  <si>
    <t>Monitor stock, transfers, distribution and supply</t>
  </si>
  <si>
    <t>All Plants + Warehouses</t>
  </si>
  <si>
    <t>Production Manager</t>
  </si>
  <si>
    <t>Monitor production quantity, efficiency and wastage</t>
  </si>
  <si>
    <t>Manufacturing Plant</t>
  </si>
  <si>
    <t>Quality Manager</t>
  </si>
  <si>
    <t>Monitor product quality and rejection</t>
  </si>
  <si>
    <t>Plant / Product</t>
  </si>
  <si>
    <t>Sales &amp; Distribution Manager</t>
  </si>
  <si>
    <t>Monitor dispatch, sales and distribution</t>
  </si>
  <si>
    <t>Warehouses / Distribution</t>
  </si>
  <si>
    <t>Inventory Manager</t>
  </si>
  <si>
    <t>Monitor stock availability and ageing</t>
  </si>
  <si>
    <t>Warehouses + Plants</t>
  </si>
  <si>
    <t>KPI</t>
  </si>
  <si>
    <t>Review</t>
  </si>
  <si>
    <t>Production vs plan (all plants)</t>
  </si>
  <si>
    <t>Daily / Monthly</t>
  </si>
  <si>
    <t>Sales vs target</t>
  </si>
  <si>
    <t>Monthly</t>
  </si>
  <si>
    <t>Order fill rate (network)</t>
  </si>
  <si>
    <t>Weekly</t>
  </si>
  <si>
    <t>Overall quality rejection</t>
  </si>
  <si>
    <t>Inventory days (network)</t>
  </si>
  <si>
    <t>Plant-wise OEE comparison</t>
  </si>
  <si>
    <t>Production vs plan</t>
  </si>
  <si>
    <t>Daily</t>
  </si>
  <si>
    <t>Overall Equipment Effectiveness (OEE)</t>
  </si>
  <si>
    <t>Unplanned downtime</t>
  </si>
  <si>
    <t>Rejection rate</t>
  </si>
  <si>
    <t>Wastage / process loss</t>
  </si>
  <si>
    <t>Safety incidents</t>
  </si>
  <si>
    <t>Stock accuracy</t>
  </si>
  <si>
    <t>Dispatch on time</t>
  </si>
  <si>
    <t>Stock ageing</t>
  </si>
  <si>
    <t>Damage / expiry loss</t>
  </si>
  <si>
    <t>Goods receipt turnaround</t>
  </si>
  <si>
    <t>Space utilisation</t>
  </si>
  <si>
    <t>On-time in-full (OTIF)</t>
  </si>
  <si>
    <t>Stock transfer lead time</t>
  </si>
  <si>
    <t>Stock-outs across warehouses</t>
  </si>
  <si>
    <t>Transport cost per unit</t>
  </si>
  <si>
    <t>Forecast accuracy</t>
  </si>
  <si>
    <t>Production quantity vs plan</t>
  </si>
  <si>
    <t>Line efficiency</t>
  </si>
  <si>
    <t>Yield</t>
  </si>
  <si>
    <t>Wastage</t>
  </si>
  <si>
    <t>Changeover time</t>
  </si>
  <si>
    <t>Batch cycle time</t>
  </si>
  <si>
    <t>Batch pass rate</t>
  </si>
  <si>
    <t>First-pass yield</t>
  </si>
  <si>
    <t>Customer complaints</t>
  </si>
  <si>
    <t>Non-conformance closure time</t>
  </si>
  <si>
    <t>Batches on hold / returned</t>
  </si>
  <si>
    <t>Dispatch vs order (fill rate)</t>
  </si>
  <si>
    <t>On-time delivery</t>
  </si>
  <si>
    <t>Sales returns</t>
  </si>
  <si>
    <t>Distributor / outlet coverage</t>
  </si>
  <si>
    <t>Overdue receivables</t>
  </si>
  <si>
    <t>Stock availability</t>
  </si>
  <si>
    <t>Slow-moving / near-expiry stock</t>
  </si>
  <si>
    <t>Inventory record accuracy</t>
  </si>
  <si>
    <t>Reorder-level adherence</t>
  </si>
  <si>
    <t>Inventory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</si>
</sst>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charset val="1"/>
    </font>
    <font>
      <b/>
      <sz val="14"/>
      <color rgb="FF1F4E79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AF1F8"/>
      </patternFill>
    </fill>
    <fill>
      <patternFill patternType="solid">
        <fgColor rgb="FFEAF1F8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EAF1F8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2"/>
  <sheetViews>
    <sheetView showGridLines="0" workbookViewId="0">
      <pane ySplit="4" topLeftCell="A5" activePane="bottomLeft" state="frozen"/>
      <selection/>
      <selection pane="bottomLeft" activeCell="B14" sqref="B14"/>
    </sheetView>
  </sheetViews>
  <sheetFormatPr defaultColWidth="8.68181818181818" defaultRowHeight="14.5" outlineLevelCol="2"/>
  <cols>
    <col min="1" max="1" width="32" customWidth="1"/>
    <col min="2" max="2" width="62" customWidth="1"/>
    <col min="3" max="3" width="34" customWidth="1"/>
  </cols>
  <sheetData>
    <row r="1" ht="18" spans="1:1">
      <c r="A1" s="1"/>
    </row>
    <row r="2" spans="1:1">
      <c r="A2" s="2"/>
    </row>
    <row r="4" ht="24" customHeight="1" spans="1:3">
      <c r="A4" s="3" t="s">
        <v>0</v>
      </c>
      <c r="B4" s="3" t="s">
        <v>1</v>
      </c>
      <c r="C4" s="3" t="s">
        <v>2</v>
      </c>
    </row>
    <row r="5" spans="1:3">
      <c r="A5" s="4" t="s">
        <v>3</v>
      </c>
      <c r="B5" s="5" t="s">
        <v>4</v>
      </c>
      <c r="C5" s="5" t="s">
        <v>5</v>
      </c>
    </row>
    <row r="6" spans="1:3">
      <c r="A6" s="6" t="s">
        <v>6</v>
      </c>
      <c r="B6" s="7" t="s">
        <v>7</v>
      </c>
      <c r="C6" s="7" t="s">
        <v>8</v>
      </c>
    </row>
    <row r="7" spans="1:3">
      <c r="A7" s="4" t="s">
        <v>9</v>
      </c>
      <c r="B7" s="5" t="s">
        <v>10</v>
      </c>
      <c r="C7" s="5" t="s">
        <v>11</v>
      </c>
    </row>
    <row r="8" spans="1:3">
      <c r="A8" s="6" t="s">
        <v>12</v>
      </c>
      <c r="B8" s="7" t="s">
        <v>13</v>
      </c>
      <c r="C8" s="7" t="s">
        <v>14</v>
      </c>
    </row>
    <row r="9" spans="1:3">
      <c r="A9" s="4" t="s">
        <v>15</v>
      </c>
      <c r="B9" s="5" t="s">
        <v>16</v>
      </c>
      <c r="C9" s="5" t="s">
        <v>17</v>
      </c>
    </row>
    <row r="10" spans="1:3">
      <c r="A10" s="6" t="s">
        <v>18</v>
      </c>
      <c r="B10" s="7" t="s">
        <v>19</v>
      </c>
      <c r="C10" s="7" t="s">
        <v>20</v>
      </c>
    </row>
    <row r="11" spans="1:3">
      <c r="A11" s="4" t="s">
        <v>21</v>
      </c>
      <c r="B11" s="5" t="s">
        <v>22</v>
      </c>
      <c r="C11" s="5" t="s">
        <v>23</v>
      </c>
    </row>
    <row r="12" spans="1:3">
      <c r="A12" s="6" t="s">
        <v>24</v>
      </c>
      <c r="B12" s="7" t="s">
        <v>25</v>
      </c>
      <c r="C12" s="7" t="s">
        <v>26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52"/>
  <sheetViews>
    <sheetView showGridLines="0" tabSelected="1" workbookViewId="0">
      <pane ySplit="4" topLeftCell="A5" activePane="bottomLeft" state="frozen"/>
      <selection/>
      <selection pane="bottomLeft" activeCell="H9" sqref="H9"/>
    </sheetView>
  </sheetViews>
  <sheetFormatPr defaultColWidth="8.68181818181818" defaultRowHeight="14.5" outlineLevelCol="3"/>
  <cols>
    <col min="1" max="2" width="30" customWidth="1"/>
    <col min="3" max="3" width="32" customWidth="1"/>
    <col min="4" max="4" width="16" customWidth="1"/>
  </cols>
  <sheetData>
    <row r="1" ht="18" spans="1:1">
      <c r="A1" s="1"/>
    </row>
    <row r="2" spans="1:1">
      <c r="A2" s="2"/>
    </row>
    <row r="4" ht="24" customHeight="1" spans="1:4">
      <c r="A4" s="3" t="s">
        <v>0</v>
      </c>
      <c r="B4" s="3" t="s">
        <v>2</v>
      </c>
      <c r="C4" s="3" t="s">
        <v>27</v>
      </c>
      <c r="D4" s="3" t="s">
        <v>28</v>
      </c>
    </row>
    <row r="5" spans="1:4">
      <c r="A5" s="4" t="s">
        <v>3</v>
      </c>
      <c r="B5" s="5" t="str">
        <f>INDEX('Roles &amp; Access'!$C$5:$C$12,MATCH(A5,'Roles &amp; Access'!$A$5:$A$12,0))</f>
        <v>All 4 Plants + 10 Warehouses</v>
      </c>
      <c r="C5" s="5" t="s">
        <v>29</v>
      </c>
      <c r="D5" s="5" t="s">
        <v>30</v>
      </c>
    </row>
    <row r="6" spans="1:4">
      <c r="A6" s="4" t="s">
        <v>3</v>
      </c>
      <c r="B6" s="5" t="str">
        <f>INDEX('Roles &amp; Access'!$C$5:$C$12,MATCH(A6,'Roles &amp; Access'!$A$5:$A$12,0))</f>
        <v>All 4 Plants + 10 Warehouses</v>
      </c>
      <c r="C6" s="5" t="s">
        <v>31</v>
      </c>
      <c r="D6" s="5" t="s">
        <v>32</v>
      </c>
    </row>
    <row r="7" spans="1:4">
      <c r="A7" s="4" t="s">
        <v>3</v>
      </c>
      <c r="B7" s="5" t="str">
        <f>INDEX('Roles &amp; Access'!$C$5:$C$12,MATCH(A7,'Roles &amp; Access'!$A$5:$A$12,0))</f>
        <v>All 4 Plants + 10 Warehouses</v>
      </c>
      <c r="C7" s="5" t="s">
        <v>33</v>
      </c>
      <c r="D7" s="5" t="s">
        <v>34</v>
      </c>
    </row>
    <row r="8" spans="1:4">
      <c r="A8" s="4" t="s">
        <v>3</v>
      </c>
      <c r="B8" s="5" t="str">
        <f>INDEX('Roles &amp; Access'!$C$5:$C$12,MATCH(A8,'Roles &amp; Access'!$A$5:$A$12,0))</f>
        <v>All 4 Plants + 10 Warehouses</v>
      </c>
      <c r="C8" s="5" t="s">
        <v>35</v>
      </c>
      <c r="D8" s="5" t="s">
        <v>34</v>
      </c>
    </row>
    <row r="9" spans="1:4">
      <c r="A9" s="4" t="s">
        <v>3</v>
      </c>
      <c r="B9" s="5" t="str">
        <f>INDEX('Roles &amp; Access'!$C$5:$C$12,MATCH(A9,'Roles &amp; Access'!$A$5:$A$12,0))</f>
        <v>All 4 Plants + 10 Warehouses</v>
      </c>
      <c r="C9" s="5" t="s">
        <v>36</v>
      </c>
      <c r="D9" s="5" t="s">
        <v>32</v>
      </c>
    </row>
    <row r="10" spans="1:4">
      <c r="A10" s="4" t="s">
        <v>3</v>
      </c>
      <c r="B10" s="5" t="str">
        <f>INDEX('Roles &amp; Access'!$C$5:$C$12,MATCH(A10,'Roles &amp; Access'!$A$5:$A$12,0))</f>
        <v>All 4 Plants + 10 Warehouses</v>
      </c>
      <c r="C10" s="5" t="s">
        <v>37</v>
      </c>
      <c r="D10" s="5" t="s">
        <v>32</v>
      </c>
    </row>
    <row r="11" spans="1:4">
      <c r="A11" s="6" t="s">
        <v>6</v>
      </c>
      <c r="B11" s="7" t="str">
        <f>INDEX('Roles &amp; Access'!$C$5:$C$12,MATCH(A11,'Roles &amp; Access'!$A$5:$A$12,0))</f>
        <v>Own Manufacturing Plant</v>
      </c>
      <c r="C11" s="7" t="s">
        <v>38</v>
      </c>
      <c r="D11" s="7" t="s">
        <v>39</v>
      </c>
    </row>
    <row r="12" spans="1:4">
      <c r="A12" s="6" t="s">
        <v>6</v>
      </c>
      <c r="B12" s="7" t="str">
        <f>INDEX('Roles &amp; Access'!$C$5:$C$12,MATCH(A12,'Roles &amp; Access'!$A$5:$A$12,0))</f>
        <v>Own Manufacturing Plant</v>
      </c>
      <c r="C12" s="7" t="s">
        <v>40</v>
      </c>
      <c r="D12" s="7" t="s">
        <v>34</v>
      </c>
    </row>
    <row r="13" spans="1:4">
      <c r="A13" s="6" t="s">
        <v>6</v>
      </c>
      <c r="B13" s="7" t="str">
        <f>INDEX('Roles &amp; Access'!$C$5:$C$12,MATCH(A13,'Roles &amp; Access'!$A$5:$A$12,0))</f>
        <v>Own Manufacturing Plant</v>
      </c>
      <c r="C13" s="7" t="s">
        <v>41</v>
      </c>
      <c r="D13" s="7" t="s">
        <v>34</v>
      </c>
    </row>
    <row r="14" spans="1:4">
      <c r="A14" s="6" t="s">
        <v>6</v>
      </c>
      <c r="B14" s="7" t="str">
        <f>INDEX('Roles &amp; Access'!$C$5:$C$12,MATCH(A14,'Roles &amp; Access'!$A$5:$A$12,0))</f>
        <v>Own Manufacturing Plant</v>
      </c>
      <c r="C14" s="7" t="s">
        <v>42</v>
      </c>
      <c r="D14" s="7" t="s">
        <v>39</v>
      </c>
    </row>
    <row r="15" spans="1:4">
      <c r="A15" s="6" t="s">
        <v>6</v>
      </c>
      <c r="B15" s="7" t="str">
        <f>INDEX('Roles &amp; Access'!$C$5:$C$12,MATCH(A15,'Roles &amp; Access'!$A$5:$A$12,0))</f>
        <v>Own Manufacturing Plant</v>
      </c>
      <c r="C15" s="7" t="s">
        <v>43</v>
      </c>
      <c r="D15" s="7" t="s">
        <v>34</v>
      </c>
    </row>
    <row r="16" spans="1:4">
      <c r="A16" s="6" t="s">
        <v>6</v>
      </c>
      <c r="B16" s="7" t="str">
        <f>INDEX('Roles &amp; Access'!$C$5:$C$12,MATCH(A16,'Roles &amp; Access'!$A$5:$A$12,0))</f>
        <v>Own Manufacturing Plant</v>
      </c>
      <c r="C16" s="7" t="s">
        <v>44</v>
      </c>
      <c r="D16" s="7" t="s">
        <v>32</v>
      </c>
    </row>
    <row r="17" spans="1:4">
      <c r="A17" s="4" t="s">
        <v>9</v>
      </c>
      <c r="B17" s="5" t="str">
        <f>INDEX('Roles &amp; Access'!$C$5:$C$12,MATCH(A17,'Roles &amp; Access'!$A$5:$A$12,0))</f>
        <v>Own Warehouse</v>
      </c>
      <c r="C17" s="5" t="s">
        <v>45</v>
      </c>
      <c r="D17" s="5" t="s">
        <v>32</v>
      </c>
    </row>
    <row r="18" spans="1:4">
      <c r="A18" s="4" t="s">
        <v>9</v>
      </c>
      <c r="B18" s="5" t="str">
        <f>INDEX('Roles &amp; Access'!$C$5:$C$12,MATCH(A18,'Roles &amp; Access'!$A$5:$A$12,0))</f>
        <v>Own Warehouse</v>
      </c>
      <c r="C18" s="5" t="s">
        <v>46</v>
      </c>
      <c r="D18" s="5" t="s">
        <v>39</v>
      </c>
    </row>
    <row r="19" spans="1:4">
      <c r="A19" s="4" t="s">
        <v>9</v>
      </c>
      <c r="B19" s="5" t="str">
        <f>INDEX('Roles &amp; Access'!$C$5:$C$12,MATCH(A19,'Roles &amp; Access'!$A$5:$A$12,0))</f>
        <v>Own Warehouse</v>
      </c>
      <c r="C19" s="5" t="s">
        <v>47</v>
      </c>
      <c r="D19" s="5" t="s">
        <v>34</v>
      </c>
    </row>
    <row r="20" spans="1:4">
      <c r="A20" s="4" t="s">
        <v>9</v>
      </c>
      <c r="B20" s="5" t="str">
        <f>INDEX('Roles &amp; Access'!$C$5:$C$12,MATCH(A20,'Roles &amp; Access'!$A$5:$A$12,0))</f>
        <v>Own Warehouse</v>
      </c>
      <c r="C20" s="5" t="s">
        <v>48</v>
      </c>
      <c r="D20" s="5" t="s">
        <v>32</v>
      </c>
    </row>
    <row r="21" spans="1:4">
      <c r="A21" s="4" t="s">
        <v>9</v>
      </c>
      <c r="B21" s="5" t="str">
        <f>INDEX('Roles &amp; Access'!$C$5:$C$12,MATCH(A21,'Roles &amp; Access'!$A$5:$A$12,0))</f>
        <v>Own Warehouse</v>
      </c>
      <c r="C21" s="5" t="s">
        <v>49</v>
      </c>
      <c r="D21" s="5" t="s">
        <v>34</v>
      </c>
    </row>
    <row r="22" spans="1:4">
      <c r="A22" s="4" t="s">
        <v>9</v>
      </c>
      <c r="B22" s="5" t="str">
        <f>INDEX('Roles &amp; Access'!$C$5:$C$12,MATCH(A22,'Roles &amp; Access'!$A$5:$A$12,0))</f>
        <v>Own Warehouse</v>
      </c>
      <c r="C22" s="5" t="s">
        <v>50</v>
      </c>
      <c r="D22" s="5" t="s">
        <v>32</v>
      </c>
    </row>
    <row r="23" spans="1:4">
      <c r="A23" s="6" t="s">
        <v>12</v>
      </c>
      <c r="B23" s="7" t="str">
        <f>INDEX('Roles &amp; Access'!$C$5:$C$12,MATCH(A23,'Roles &amp; Access'!$A$5:$A$12,0))</f>
        <v>All Plants + Warehouses</v>
      </c>
      <c r="C23" s="7" t="s">
        <v>51</v>
      </c>
      <c r="D23" s="7" t="s">
        <v>34</v>
      </c>
    </row>
    <row r="24" spans="1:4">
      <c r="A24" s="6" t="s">
        <v>12</v>
      </c>
      <c r="B24" s="7" t="str">
        <f>INDEX('Roles &amp; Access'!$C$5:$C$12,MATCH(A24,'Roles &amp; Access'!$A$5:$A$12,0))</f>
        <v>All Plants + Warehouses</v>
      </c>
      <c r="C24" s="7" t="s">
        <v>52</v>
      </c>
      <c r="D24" s="7" t="s">
        <v>34</v>
      </c>
    </row>
    <row r="25" spans="1:4">
      <c r="A25" s="6" t="s">
        <v>12</v>
      </c>
      <c r="B25" s="7" t="str">
        <f>INDEX('Roles &amp; Access'!$C$5:$C$12,MATCH(A25,'Roles &amp; Access'!$A$5:$A$12,0))</f>
        <v>All Plants + Warehouses</v>
      </c>
      <c r="C25" s="7" t="s">
        <v>53</v>
      </c>
      <c r="D25" s="7" t="s">
        <v>34</v>
      </c>
    </row>
    <row r="26" spans="1:4">
      <c r="A26" s="6" t="s">
        <v>12</v>
      </c>
      <c r="B26" s="7" t="str">
        <f>INDEX('Roles &amp; Access'!$C$5:$C$12,MATCH(A26,'Roles &amp; Access'!$A$5:$A$12,0))</f>
        <v>All Plants + Warehouses</v>
      </c>
      <c r="C26" s="7" t="s">
        <v>36</v>
      </c>
      <c r="D26" s="7" t="s">
        <v>32</v>
      </c>
    </row>
    <row r="27" spans="1:4">
      <c r="A27" s="6" t="s">
        <v>12</v>
      </c>
      <c r="B27" s="7" t="str">
        <f>INDEX('Roles &amp; Access'!$C$5:$C$12,MATCH(A27,'Roles &amp; Access'!$A$5:$A$12,0))</f>
        <v>All Plants + Warehouses</v>
      </c>
      <c r="C27" s="7" t="s">
        <v>54</v>
      </c>
      <c r="D27" s="7" t="s">
        <v>32</v>
      </c>
    </row>
    <row r="28" spans="1:4">
      <c r="A28" s="6" t="s">
        <v>12</v>
      </c>
      <c r="B28" s="7" t="str">
        <f>INDEX('Roles &amp; Access'!$C$5:$C$12,MATCH(A28,'Roles &amp; Access'!$A$5:$A$12,0))</f>
        <v>All Plants + Warehouses</v>
      </c>
      <c r="C28" s="7" t="s">
        <v>55</v>
      </c>
      <c r="D28" s="7" t="s">
        <v>32</v>
      </c>
    </row>
    <row r="29" spans="1:4">
      <c r="A29" s="4" t="s">
        <v>15</v>
      </c>
      <c r="B29" s="5" t="str">
        <f>INDEX('Roles &amp; Access'!$C$5:$C$12,MATCH(A29,'Roles &amp; Access'!$A$5:$A$12,0))</f>
        <v>Manufacturing Plant</v>
      </c>
      <c r="C29" s="5" t="s">
        <v>56</v>
      </c>
      <c r="D29" s="5" t="s">
        <v>39</v>
      </c>
    </row>
    <row r="30" spans="1:4">
      <c r="A30" s="4" t="s">
        <v>15</v>
      </c>
      <c r="B30" s="5" t="str">
        <f>INDEX('Roles &amp; Access'!$C$5:$C$12,MATCH(A30,'Roles &amp; Access'!$A$5:$A$12,0))</f>
        <v>Manufacturing Plant</v>
      </c>
      <c r="C30" s="5" t="s">
        <v>57</v>
      </c>
      <c r="D30" s="5" t="s">
        <v>39</v>
      </c>
    </row>
    <row r="31" spans="1:4">
      <c r="A31" s="4" t="s">
        <v>15</v>
      </c>
      <c r="B31" s="5" t="str">
        <f>INDEX('Roles &amp; Access'!$C$5:$C$12,MATCH(A31,'Roles &amp; Access'!$A$5:$A$12,0))</f>
        <v>Manufacturing Plant</v>
      </c>
      <c r="C31" s="5" t="s">
        <v>58</v>
      </c>
      <c r="D31" s="5" t="s">
        <v>34</v>
      </c>
    </row>
    <row r="32" spans="1:4">
      <c r="A32" s="4" t="s">
        <v>15</v>
      </c>
      <c r="B32" s="5" t="str">
        <f>INDEX('Roles &amp; Access'!$C$5:$C$12,MATCH(A32,'Roles &amp; Access'!$A$5:$A$12,0))</f>
        <v>Manufacturing Plant</v>
      </c>
      <c r="C32" s="5" t="s">
        <v>59</v>
      </c>
      <c r="D32" s="5" t="s">
        <v>39</v>
      </c>
    </row>
    <row r="33" spans="1:4">
      <c r="A33" s="4" t="s">
        <v>15</v>
      </c>
      <c r="B33" s="5" t="str">
        <f>INDEX('Roles &amp; Access'!$C$5:$C$12,MATCH(A33,'Roles &amp; Access'!$A$5:$A$12,0))</f>
        <v>Manufacturing Plant</v>
      </c>
      <c r="C33" s="5" t="s">
        <v>60</v>
      </c>
      <c r="D33" s="5" t="s">
        <v>32</v>
      </c>
    </row>
    <row r="34" spans="1:4">
      <c r="A34" s="4" t="s">
        <v>15</v>
      </c>
      <c r="B34" s="5" t="str">
        <f>INDEX('Roles &amp; Access'!$C$5:$C$12,MATCH(A34,'Roles &amp; Access'!$A$5:$A$12,0))</f>
        <v>Manufacturing Plant</v>
      </c>
      <c r="C34" s="5" t="s">
        <v>61</v>
      </c>
      <c r="D34" s="5" t="s">
        <v>34</v>
      </c>
    </row>
    <row r="35" spans="1:4">
      <c r="A35" s="6" t="s">
        <v>18</v>
      </c>
      <c r="B35" s="7" t="str">
        <f>INDEX('Roles &amp; Access'!$C$5:$C$12,MATCH(A35,'Roles &amp; Access'!$A$5:$A$12,0))</f>
        <v>Plant / Product</v>
      </c>
      <c r="C35" s="7" t="s">
        <v>42</v>
      </c>
      <c r="D35" s="7" t="s">
        <v>39</v>
      </c>
    </row>
    <row r="36" spans="1:4">
      <c r="A36" s="6" t="s">
        <v>18</v>
      </c>
      <c r="B36" s="7" t="str">
        <f>INDEX('Roles &amp; Access'!$C$5:$C$12,MATCH(A36,'Roles &amp; Access'!$A$5:$A$12,0))</f>
        <v>Plant / Product</v>
      </c>
      <c r="C36" s="7" t="s">
        <v>62</v>
      </c>
      <c r="D36" s="7" t="s">
        <v>34</v>
      </c>
    </row>
    <row r="37" spans="1:4">
      <c r="A37" s="6" t="s">
        <v>18</v>
      </c>
      <c r="B37" s="7" t="str">
        <f>INDEX('Roles &amp; Access'!$C$5:$C$12,MATCH(A37,'Roles &amp; Access'!$A$5:$A$12,0))</f>
        <v>Plant / Product</v>
      </c>
      <c r="C37" s="7" t="s">
        <v>63</v>
      </c>
      <c r="D37" s="7" t="s">
        <v>34</v>
      </c>
    </row>
    <row r="38" spans="1:4">
      <c r="A38" s="6" t="s">
        <v>18</v>
      </c>
      <c r="B38" s="7" t="str">
        <f>INDEX('Roles &amp; Access'!$C$5:$C$12,MATCH(A38,'Roles &amp; Access'!$A$5:$A$12,0))</f>
        <v>Plant / Product</v>
      </c>
      <c r="C38" s="7" t="s">
        <v>64</v>
      </c>
      <c r="D38" s="7" t="s">
        <v>32</v>
      </c>
    </row>
    <row r="39" spans="1:4">
      <c r="A39" s="6" t="s">
        <v>18</v>
      </c>
      <c r="B39" s="7" t="str">
        <f>INDEX('Roles &amp; Access'!$C$5:$C$12,MATCH(A39,'Roles &amp; Access'!$A$5:$A$12,0))</f>
        <v>Plant / Product</v>
      </c>
      <c r="C39" s="7" t="s">
        <v>65</v>
      </c>
      <c r="D39" s="7" t="s">
        <v>32</v>
      </c>
    </row>
    <row r="40" spans="1:4">
      <c r="A40" s="6" t="s">
        <v>18</v>
      </c>
      <c r="B40" s="7" t="str">
        <f>INDEX('Roles &amp; Access'!$C$5:$C$12,MATCH(A40,'Roles &amp; Access'!$A$5:$A$12,0))</f>
        <v>Plant / Product</v>
      </c>
      <c r="C40" s="7" t="s">
        <v>66</v>
      </c>
      <c r="D40" s="7" t="s">
        <v>32</v>
      </c>
    </row>
    <row r="41" spans="1:4">
      <c r="A41" s="4" t="s">
        <v>21</v>
      </c>
      <c r="B41" s="5" t="str">
        <f>INDEX('Roles &amp; Access'!$C$5:$C$12,MATCH(A41,'Roles &amp; Access'!$A$5:$A$12,0))</f>
        <v>Warehouses / Distribution</v>
      </c>
      <c r="C41" s="5" t="s">
        <v>31</v>
      </c>
      <c r="D41" s="5" t="s">
        <v>32</v>
      </c>
    </row>
    <row r="42" spans="1:4">
      <c r="A42" s="4" t="s">
        <v>21</v>
      </c>
      <c r="B42" s="5" t="str">
        <f>INDEX('Roles &amp; Access'!$C$5:$C$12,MATCH(A42,'Roles &amp; Access'!$A$5:$A$12,0))</f>
        <v>Warehouses / Distribution</v>
      </c>
      <c r="C42" s="5" t="s">
        <v>67</v>
      </c>
      <c r="D42" s="5" t="s">
        <v>39</v>
      </c>
    </row>
    <row r="43" spans="1:4">
      <c r="A43" s="4" t="s">
        <v>21</v>
      </c>
      <c r="B43" s="5" t="str">
        <f>INDEX('Roles &amp; Access'!$C$5:$C$12,MATCH(A43,'Roles &amp; Access'!$A$5:$A$12,0))</f>
        <v>Warehouses / Distribution</v>
      </c>
      <c r="C43" s="5" t="s">
        <v>68</v>
      </c>
      <c r="D43" s="5" t="s">
        <v>34</v>
      </c>
    </row>
    <row r="44" spans="1:4">
      <c r="A44" s="4" t="s">
        <v>21</v>
      </c>
      <c r="B44" s="5" t="str">
        <f>INDEX('Roles &amp; Access'!$C$5:$C$12,MATCH(A44,'Roles &amp; Access'!$A$5:$A$12,0))</f>
        <v>Warehouses / Distribution</v>
      </c>
      <c r="C44" s="5" t="s">
        <v>69</v>
      </c>
      <c r="D44" s="5" t="s">
        <v>32</v>
      </c>
    </row>
    <row r="45" spans="1:4">
      <c r="A45" s="4" t="s">
        <v>21</v>
      </c>
      <c r="B45" s="5" t="str">
        <f>INDEX('Roles &amp; Access'!$C$5:$C$12,MATCH(A45,'Roles &amp; Access'!$A$5:$A$12,0))</f>
        <v>Warehouses / Distribution</v>
      </c>
      <c r="C45" s="5" t="s">
        <v>70</v>
      </c>
      <c r="D45" s="5" t="s">
        <v>32</v>
      </c>
    </row>
    <row r="46" spans="1:4">
      <c r="A46" s="4" t="s">
        <v>21</v>
      </c>
      <c r="B46" s="5" t="str">
        <f>INDEX('Roles &amp; Access'!$C$5:$C$12,MATCH(A46,'Roles &amp; Access'!$A$5:$A$12,0))</f>
        <v>Warehouses / Distribution</v>
      </c>
      <c r="C46" s="5" t="s">
        <v>71</v>
      </c>
      <c r="D46" s="5" t="s">
        <v>32</v>
      </c>
    </row>
    <row r="47" spans="1:4">
      <c r="A47" s="6" t="s">
        <v>24</v>
      </c>
      <c r="B47" s="7" t="str">
        <f>INDEX('Roles &amp; Access'!$C$5:$C$12,MATCH(A47,'Roles &amp; Access'!$A$5:$A$12,0))</f>
        <v>Warehouses + Plants</v>
      </c>
      <c r="C47" s="7" t="s">
        <v>72</v>
      </c>
      <c r="D47" s="7" t="s">
        <v>39</v>
      </c>
    </row>
    <row r="48" spans="1:4">
      <c r="A48" s="6" t="s">
        <v>24</v>
      </c>
      <c r="B48" s="7" t="str">
        <f>INDEX('Roles &amp; Access'!$C$5:$C$12,MATCH(A48,'Roles &amp; Access'!$A$5:$A$12,0))</f>
        <v>Warehouses + Plants</v>
      </c>
      <c r="C48" s="7" t="s">
        <v>47</v>
      </c>
      <c r="D48" s="7" t="s">
        <v>34</v>
      </c>
    </row>
    <row r="49" spans="1:4">
      <c r="A49" s="6" t="s">
        <v>24</v>
      </c>
      <c r="B49" s="7" t="str">
        <f>INDEX('Roles &amp; Access'!$C$5:$C$12,MATCH(A49,'Roles &amp; Access'!$A$5:$A$12,0))</f>
        <v>Warehouses + Plants</v>
      </c>
      <c r="C49" s="7" t="s">
        <v>73</v>
      </c>
      <c r="D49" s="7" t="s">
        <v>34</v>
      </c>
    </row>
    <row r="50" spans="1:4">
      <c r="A50" s="6" t="s">
        <v>24</v>
      </c>
      <c r="B50" s="7" t="str">
        <f>INDEX('Roles &amp; Access'!$C$5:$C$12,MATCH(A50,'Roles &amp; Access'!$A$5:$A$12,0))</f>
        <v>Warehouses + Plants</v>
      </c>
      <c r="C50" s="7" t="s">
        <v>74</v>
      </c>
      <c r="D50" s="7" t="s">
        <v>32</v>
      </c>
    </row>
    <row r="51" spans="1:4">
      <c r="A51" s="6" t="s">
        <v>24</v>
      </c>
      <c r="B51" s="7" t="str">
        <f>INDEX('Roles &amp; Access'!$C$5:$C$12,MATCH(A51,'Roles &amp; Access'!$A$5:$A$12,0))</f>
        <v>Warehouses + Plants</v>
      </c>
      <c r="C51" s="7" t="s">
        <v>75</v>
      </c>
      <c r="D51" s="7" t="s">
        <v>34</v>
      </c>
    </row>
    <row r="52" spans="1:4">
      <c r="A52" s="6" t="s">
        <v>24</v>
      </c>
      <c r="B52" s="7" t="str">
        <f>INDEX('Roles &amp; Access'!$C$5:$C$12,MATCH(A52,'Roles &amp; Access'!$A$5:$A$12,0))</f>
        <v>Warehouses + Plants</v>
      </c>
      <c r="C52" s="7" t="s">
        <v>76</v>
      </c>
      <c r="D52" s="7" t="s">
        <v>32</v>
      </c>
    </row>
  </sheetData>
  <autoFilter xmlns:etc="http://www.wps.cn/officeDocument/2017/etCustomData" ref="A4:D52" etc:filterBottomFollowUsedRange="0">
    <extLst/>
  </autoFilter>
  <pageMargins left="0.75" right="0.75" top="1" bottom="1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Roles &amp; Access</vt:lpstr>
      <vt:lpstr>Role 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Devaraj Venkatesan</cp:lastModifiedBy>
  <cp:revision>0</cp:revision>
  <dcterms:created xsi:type="dcterms:W3CDTF">2026-09-21T11:33:00Z</dcterms:created>
  <dcterms:modified xsi:type="dcterms:W3CDTF">2026-09-21T11:36:36Z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6106CAC393464D1AAB808F53DB8F5B82_12</vt:lpwstr>
  </property>
  <property fmtid="{D5CDD505-2E9C-101B-9397-08002B2CF9AE}" pid="3" name="KSOProductBuildVer">
    <vt:lpwstr>2057-12.2.0.23206</vt:lpwstr>
  </property>
</Properties>
</file>