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s" state="visible" r:id="rId5"/>
    <sheet sheetId="3" name="Savings by Year" state="visible" r:id="rId6"/>
    <sheet sheetId="4" name="Data Quality" state="visible" r:id="rId7"/>
    <sheet sheetId="5" name="Model" state="visible" r:id="rId8"/>
  </sheets>
  <calcPr calcId="171027"/>
</workbook>
</file>

<file path=xl/sharedStrings.xml><?xml version="1.0" encoding="utf-8"?>
<sst xmlns="http://schemas.openxmlformats.org/spreadsheetml/2006/main" count="250" uniqueCount="182">
  <si>
    <t>Project</t>
  </si>
  <si>
    <t>Centene Payment Integrity - capstone-healthcare</t>
  </si>
  <si>
    <t>Report</t>
  </si>
  <si>
    <t>Centene_PI_Capstone.pbip (3 pages, 28 measures, 4 synced slicers)</t>
  </si>
  <si>
    <t>Source data</t>
  </si>
  <si>
    <t>day9/centene-data (12 CSV extracts, fact = 248 rows, Jan-2023 to Dec-2025)</t>
  </si>
  <si>
    <t>Validation date</t>
  </si>
  <si>
    <t>2026-10-06</t>
  </si>
  <si>
    <t>Method</t>
  </si>
  <si>
    <t>Expected values computed independently in Node.js straight from the CSV files (no Power BI). Actual values returned by DAX queries run against the live Power BI Desktop model (ADOMD, localhost) after refresh.</t>
  </si>
  <si>
    <t>Tests executed</t>
  </si>
  <si>
    <t>Tests passed</t>
  </si>
  <si>
    <t>Result</t>
  </si>
  <si>
    <t>ALL TESTS PASS</t>
  </si>
  <si>
    <t>Test ID</t>
  </si>
  <si>
    <t>Test description</t>
  </si>
  <si>
    <t>Measure under test</t>
  </si>
  <si>
    <t>DAX validation query</t>
  </si>
  <si>
    <t>Expected (from CSV)</t>
  </si>
  <si>
    <t>Actual (Power BI DAX)</t>
  </si>
  <si>
    <t>Difference</t>
  </si>
  <si>
    <t>Tolerance</t>
  </si>
  <si>
    <t>T01</t>
  </si>
  <si>
    <t>Fact row count</t>
  </si>
  <si>
    <t>Fact Row Count</t>
  </si>
  <si>
    <t>EVALUATE ROW("v", [Fact Row Count])</t>
  </si>
  <si>
    <t>PASS</t>
  </si>
  <si>
    <t>T02</t>
  </si>
  <si>
    <t>Total Savings (all periods)</t>
  </si>
  <si>
    <t>Total Savings</t>
  </si>
  <si>
    <t>EVALUATE ROW("v", [Total Savings])</t>
  </si>
  <si>
    <t>T03</t>
  </si>
  <si>
    <t>Pre-Pay Savings</t>
  </si>
  <si>
    <t>EVALUATE ROW("v", [Pre-Pay Savings])</t>
  </si>
  <si>
    <t>T04</t>
  </si>
  <si>
    <t>Post-Pay Savings</t>
  </si>
  <si>
    <t>EVALUATE ROW("v", [Post-Pay Savings])</t>
  </si>
  <si>
    <t>T05</t>
  </si>
  <si>
    <t>Savings reconciliation: Total - (Pre + Post) = 0</t>
  </si>
  <si>
    <t>Savings Reconciliation Gap</t>
  </si>
  <si>
    <t>EVALUATE ROW("v", [Savings Reconciliation Gap])</t>
  </si>
  <si>
    <t>T06</t>
  </si>
  <si>
    <t>Total Billed</t>
  </si>
  <si>
    <t>EVALUATE ROW("v", [Total Billed])</t>
  </si>
  <si>
    <t>T07</t>
  </si>
  <si>
    <t>Total Paid</t>
  </si>
  <si>
    <t>EVALUATE ROW("v", [Total Paid])</t>
  </si>
  <si>
    <t>T08</t>
  </si>
  <si>
    <t>Savings Rate % (savings / billed)</t>
  </si>
  <si>
    <t>Savings Rate %</t>
  </si>
  <si>
    <t>EVALUATE ROW("v", [Savings Rate %])</t>
  </si>
  <si>
    <t>T09</t>
  </si>
  <si>
    <t>Claims Submitted</t>
  </si>
  <si>
    <t>EVALUATE ROW("v", [Claims Submitted])</t>
  </si>
  <si>
    <t>T10</t>
  </si>
  <si>
    <t>Claims Processed</t>
  </si>
  <si>
    <t>EVALUATE ROW("v", [Claims Processed])</t>
  </si>
  <si>
    <t>T11</t>
  </si>
  <si>
    <t>Avg True Positive Rate %</t>
  </si>
  <si>
    <t>EVALUATE ROW("v", [Avg True Positive Rate %])</t>
  </si>
  <si>
    <t>T12</t>
  </si>
  <si>
    <t>Total Savings 2023</t>
  </si>
  <si>
    <t>EVALUATE ROW("v", CALCULATE([Total Savings], dim_date[year] = 2023))</t>
  </si>
  <si>
    <t>T13</t>
  </si>
  <si>
    <t>Total Savings 2024</t>
  </si>
  <si>
    <t>EVALUATE ROW("v", CALCULATE([Total Savings], dim_date[year] = 2024))</t>
  </si>
  <si>
    <t>T14</t>
  </si>
  <si>
    <t>Total Savings 2025</t>
  </si>
  <si>
    <t>EVALUATE ROW("v", CALCULATE([Total Savings], dim_date[year] = 2025))</t>
  </si>
  <si>
    <t>T15</t>
  </si>
  <si>
    <t>Savings YoY % 2025 vs 2024</t>
  </si>
  <si>
    <t>Savings YoY %</t>
  </si>
  <si>
    <t>EVALUATE ROW("v", CALCULATE([Savings YoY %], dim_date[year] = 2025))</t>
  </si>
  <si>
    <t>T16</t>
  </si>
  <si>
    <t>Latest Year YoY % (card, no filter = 2025 vs 2024)</t>
  </si>
  <si>
    <t>Latest Year YoY %</t>
  </si>
  <si>
    <t>EVALUATE ROW("v", [Latest Year YoY %])</t>
  </si>
  <si>
    <t>T17</t>
  </si>
  <si>
    <t>Medicaid LOB savings</t>
  </si>
  <si>
    <t>EVALUATE ROW("v", CALCULATE([Total Savings], dim_line_of_business[lob_name] = "Medicaid"))</t>
  </si>
  <si>
    <t>T18</t>
  </si>
  <si>
    <t>Top PI service savings (Coordination of Benefits)</t>
  </si>
  <si>
    <t>EVALUATE ROW("v", CALCULATE([Total Savings], dim_pi_service[pi_service_name] = "Coordination of Benefits"))</t>
  </si>
  <si>
    <t>T19</t>
  </si>
  <si>
    <t>Rank-1 provider by savings</t>
  </si>
  <si>
    <t>Provider Savings Rank</t>
  </si>
  <si>
    <t>EVALUATE ROW("v", MAXX(FILTER(SUMMARIZECOLUMNS(dim_provider[provider_name], "r", [Provider Savings Rank]), [r] = 1), dim_provider[provider_name]))</t>
  </si>
  <si>
    <t>Sunrise Rehabilitation Hospital LLC</t>
  </si>
  <si>
    <t>T20</t>
  </si>
  <si>
    <t>Rows with null employer group -&gt; "Not Assigned"</t>
  </si>
  <si>
    <t>Rows Without Employer Group</t>
  </si>
  <si>
    <t>EVALUATE ROW("v", [Rows Without Employer Group])</t>
  </si>
  <si>
    <t>T21</t>
  </si>
  <si>
    <t>Rows with orphan employer group keys 2-6</t>
  </si>
  <si>
    <t>Rows With Orphan Employer Group</t>
  </si>
  <si>
    <t>EVALUATE ROW("v", [Rows With Orphan Employer Group])</t>
  </si>
  <si>
    <t>T22</t>
  </si>
  <si>
    <t>Date relationship complete: savings with a matched calendar date = total</t>
  </si>
  <si>
    <t>EVALUATE ROW("v", CALCULATE([Total Savings], NOT ISBLANK(dim_date[year])))</t>
  </si>
  <si>
    <t>T23</t>
  </si>
  <si>
    <t>Pre-Pay Share %</t>
  </si>
  <si>
    <t>EVALUATE ROW("v", [Pre-Pay Share %])</t>
  </si>
  <si>
    <t>T24</t>
  </si>
  <si>
    <t>Providers with savings (retired provider key 7 excluded)</t>
  </si>
  <si>
    <t>Providers with Savings</t>
  </si>
  <si>
    <t>EVALUATE ROW("v", [Providers with Savings])</t>
  </si>
  <si>
    <t>Year</t>
  </si>
  <si>
    <t>Total Savings PY</t>
  </si>
  <si>
    <t>Total</t>
  </si>
  <si>
    <t>Check: the yearly totals sum to the all-period Total Savings (T02 = $156,764,903.24).</t>
  </si>
  <si>
    <t>#</t>
  </si>
  <si>
    <t>Finding</t>
  </si>
  <si>
    <t>Evidence</t>
  </si>
  <si>
    <t>Treatment in the model</t>
  </si>
  <si>
    <t>Test</t>
  </si>
  <si>
    <t>dim_employer_group.csv and dim_pi_service.csv contents are swapped</t>
  </si>
  <si>
    <t>dim_employer_group.csv holds 10 PI services; dim_pi_service.csv holds 1 employer group</t>
  </si>
  <si>
    <t>Power Query loads each table from the other file name (documented in the table description)</t>
  </si>
  <si>
    <t>Fact date_key is YYYYMMDD; dim_date.date_key is a 1..2557 surrogate</t>
  </si>
  <si>
    <t>fact 20250401 vs dim 1 = 2022-01-01 - a direct key join matches nothing</t>
  </si>
  <si>
    <t>Power Query derives fact[period_date] from date_key; relationship period_date -&gt; dim_date[full_date]</t>
  </si>
  <si>
    <t>124 fact rows (50%) have a null employer_group_key</t>
  </si>
  <si>
    <t>employer_group_key = "null"</t>
  </si>
  <si>
    <t>Replaced with -1 and mapped to an "Not Assigned" member</t>
  </si>
  <si>
    <t>50 fact rows reference employer groups 2-6 that do not exist</t>
  </si>
  <si>
    <t>dim has only key 1</t>
  </si>
  <si>
    <t>Power Query appends "Unmapped Group (key n)" members dynamically</t>
  </si>
  <si>
    <t>Employer group 1 belongs to client 2, but 9 fact rows pair it with client 1</t>
  </si>
  <si>
    <t>client_key=1 and employer_group_key=1</t>
  </si>
  <si>
    <t>Reported, not changed - needs source-system fix</t>
  </si>
  <si>
    <t>-</t>
  </si>
  <si>
    <t>HealthFirst (self-funded ASO client) has 57 rows marked Fully Insured</t>
  </si>
  <si>
    <t>client 2: ASO 55 rows / FI 57 rows</t>
  </si>
  <si>
    <t>Reported, not changed</t>
  </si>
  <si>
    <t>total_claims_*_amount columns are whole-number claim counts</t>
  </si>
  <si>
    <t>values 561 - 24,878, no decimals</t>
  </si>
  <si>
    <t>Typed as numbers, formatted #,0 and labelled "Claims ..."</t>
  </si>
  <si>
    <t>T09, T10</t>
  </si>
  <si>
    <t>dim_claim_status has no foreign key in the fact</t>
  </si>
  <si>
    <t>no claim_status_key column</t>
  </si>
  <si>
    <t>Not loaded into the model</t>
  </si>
  <si>
    <t>dim_date spans 2022-2028; facts only 2023-2025</t>
  </si>
  <si>
    <t>2,557 dates vs 36 fact months</t>
  </si>
  <si>
    <t>Calendar filtered to 2023-01-01..2025-12-31 so slicers show only real periods</t>
  </si>
  <si>
    <t>T12-T14</t>
  </si>
  <si>
    <t>SCD2 history rows (retired analytic, expired provider, expired client)</t>
  </si>
  <si>
    <t>analytic 7, provider 7, client 3</t>
  </si>
  <si>
    <t>Kept for history; no fact rows reference them</t>
  </si>
  <si>
    <t>true_positive_rate_pct is a rate</t>
  </si>
  <si>
    <t>35.2 - 91.9</t>
  </si>
  <si>
    <t>Averaged (never summed); savings-weighted variant also provided</t>
  </si>
  <si>
    <t>From (many)</t>
  </si>
  <si>
    <t>To (one)</t>
  </si>
  <si>
    <t>Cardinality</t>
  </si>
  <si>
    <t>Filter direction</t>
  </si>
  <si>
    <t>fact_pi_measures[client_key]</t>
  </si>
  <si>
    <t>dim_client[client_key]</t>
  </si>
  <si>
    <t>Many-to-one</t>
  </si>
  <si>
    <t>Single</t>
  </si>
  <si>
    <t>fact_pi_measures[lob_key]</t>
  </si>
  <si>
    <t>dim_line_of_business[lob_key]</t>
  </si>
  <si>
    <t>fact_pi_measures[funding_type_key]</t>
  </si>
  <si>
    <t>dim_funding_type[funding_type_key]</t>
  </si>
  <si>
    <t>fact_pi_measures[pi_service_key]</t>
  </si>
  <si>
    <t>dim_pi_service[pi_service_key]</t>
  </si>
  <si>
    <t>fact_pi_measures[claim_type_key]</t>
  </si>
  <si>
    <t>dim_claim_type[claim_type_key]</t>
  </si>
  <si>
    <t>fact_pi_measures[analytic_key]</t>
  </si>
  <si>
    <t>dim_analytic[analytic_key]</t>
  </si>
  <si>
    <t>fact_pi_measures[provider_key]</t>
  </si>
  <si>
    <t>dim_provider[provider_key]</t>
  </si>
  <si>
    <t>fact_pi_measures[employer_group_key]</t>
  </si>
  <si>
    <t>dim_employer_group[employer_group_key]</t>
  </si>
  <si>
    <t>fact_pi_measures[source_system_key]</t>
  </si>
  <si>
    <t>dim_source_system[source_system_key]</t>
  </si>
  <si>
    <t>fact_pi_measures[period_date]</t>
  </si>
  <si>
    <t>dim_date[full_date]</t>
  </si>
  <si>
    <t>Row count: fact</t>
  </si>
  <si>
    <t>Row count: dim_date</t>
  </si>
  <si>
    <t>Row count: dim_employer_group</t>
  </si>
  <si>
    <t>Row count: dim_pi_service</t>
  </si>
  <si>
    <t>Row count: dim_provider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</si>
</sst>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00%"/>
  </numFmts>
  <fonts count="4" x14ac:knownFonts="1">
    <font>
      <color theme="1"/>
      <family val="2"/>
      <scheme val="minor"/>
      <sz val="11"/>
      <name val="Calibri"/>
    </font>
    <font>
      <b/>
    </font>
    <font>
      <b/>
      <color rgb="FFFFFFFF"/>
    </font>
    <font>
      <b/>
      <color rgb="FF2C8641"/>
    </font>
  </fonts>
  <fills count="4">
    <fill>
      <patternFill patternType="none"/>
    </fill>
    <fill>
      <patternFill patternType="gray125"/>
    </fill>
    <fill>
      <patternFill patternType="solid">
        <fgColor rgb="FF00598C"/>
      </patternFill>
    </fill>
    <fill>
      <patternFill patternType="solid">
        <fgColor rgb="FFE8F8EB"/>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vertical="top" wrapText="1"/>
    </xf>
    <xf numFmtId="0" fontId="2" fillId="2" borderId="0" xfId="0" applyFont="1" applyFill="1" applyAlignment="1">
      <alignment vertical="center" wrapText="1"/>
    </xf>
    <xf numFmtId="3" fontId="0" fillId="0" borderId="0" xfId="0" applyNumberFormat="1"/>
    <xf numFmtId="0" fontId="3" fillId="3" borderId="0" xfId="0" applyFont="1" applyFill="1"/>
    <xf numFmtId="164" fontId="0" fillId="0" borderId="0" xfId="0" applyNumberFormat="1"/>
    <xf numFmtId="165" fontId="0" fillId="0" borderId="0" xfId="0" applyNumberFormat="1"/>
    <xf numFmtId="10" fontId="0" fillId="0" borderId="0" xfId="0" applyNumberForma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34" style="1" customWidth="1"/>
    <col min="2" max="2" width="70"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v>24</v>
      </c>
    </row>
    <row r="7" spans="1:2" x14ac:dyDescent="0.25">
      <c r="A7" s="1" t="s">
        <v>11</v>
      </c>
      <c r="B7" s="2">
        <v>24</v>
      </c>
    </row>
    <row r="8" spans="1:2" x14ac:dyDescent="0.25">
      <c r="A8" s="1" t="s">
        <v>12</v>
      </c>
      <c r="B8" s="2" t="s">
        <v>13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46" customWidth="1"/>
    <col min="3" max="3" width="26" customWidth="1"/>
    <col min="4" max="4" width="70" customWidth="1"/>
    <col min="5" max="6" width="22" customWidth="1"/>
    <col min="7" max="7" width="14" customWidth="1"/>
    <col min="8" max="8" width="11" customWidth="1"/>
  </cols>
  <sheetData>
    <row r="1" ht="30" customHeight="1" spans="1:9" x14ac:dyDescent="0.25">
      <c r="A1" s="3" t="s">
        <v>14</v>
      </c>
      <c r="B1" s="3" t="s">
        <v>15</v>
      </c>
      <c r="C1" s="3" t="s">
        <v>16</v>
      </c>
      <c r="D1" s="3" t="s">
        <v>17</v>
      </c>
      <c r="E1" s="3" t="s">
        <v>18</v>
      </c>
      <c r="F1" s="3" t="s">
        <v>19</v>
      </c>
      <c r="G1" s="3" t="s">
        <v>20</v>
      </c>
      <c r="H1" s="3" t="s">
        <v>21</v>
      </c>
      <c r="I1" s="3" t="s">
        <v>12</v>
      </c>
    </row>
    <row r="2" spans="1:9" x14ac:dyDescent="0.25">
      <c r="A2" t="s">
        <v>22</v>
      </c>
      <c r="B2" s="2" t="s">
        <v>23</v>
      </c>
      <c r="C2" t="s">
        <v>24</v>
      </c>
      <c r="D2" s="2" t="s">
        <v>25</v>
      </c>
      <c r="E2" s="4">
        <v>248</v>
      </c>
      <c r="F2" s="4">
        <v>248</v>
      </c>
      <c r="G2">
        <v>0</v>
      </c>
      <c r="H2">
        <v>0</v>
      </c>
      <c r="I2" s="5" t="s">
        <v>26</v>
      </c>
    </row>
    <row r="3" spans="1:9" x14ac:dyDescent="0.25">
      <c r="A3" t="s">
        <v>27</v>
      </c>
      <c r="B3" s="2" t="s">
        <v>28</v>
      </c>
      <c r="C3" t="s">
        <v>29</v>
      </c>
      <c r="D3" s="2" t="s">
        <v>30</v>
      </c>
      <c r="E3" s="6">
        <v>156764903.24</v>
      </c>
      <c r="F3" s="6">
        <v>156764903.24</v>
      </c>
      <c r="G3">
        <v>0</v>
      </c>
      <c r="H3">
        <v>0.01</v>
      </c>
      <c r="I3" s="5" t="s">
        <v>26</v>
      </c>
    </row>
    <row r="4" spans="1:9" x14ac:dyDescent="0.25">
      <c r="A4" t="s">
        <v>31</v>
      </c>
      <c r="B4" s="2" t="s">
        <v>32</v>
      </c>
      <c r="C4" t="s">
        <v>32</v>
      </c>
      <c r="D4" s="2" t="s">
        <v>33</v>
      </c>
      <c r="E4" s="6">
        <v>69744660.79</v>
      </c>
      <c r="F4" s="6">
        <v>69744660.79</v>
      </c>
      <c r="G4">
        <v>0</v>
      </c>
      <c r="H4">
        <v>0.01</v>
      </c>
      <c r="I4" s="5" t="s">
        <v>26</v>
      </c>
    </row>
    <row r="5" spans="1:9" x14ac:dyDescent="0.25">
      <c r="A5" t="s">
        <v>34</v>
      </c>
      <c r="B5" s="2" t="s">
        <v>35</v>
      </c>
      <c r="C5" t="s">
        <v>35</v>
      </c>
      <c r="D5" s="2" t="s">
        <v>36</v>
      </c>
      <c r="E5" s="6">
        <v>87020242.45</v>
      </c>
      <c r="F5" s="6">
        <v>87020242.45</v>
      </c>
      <c r="G5">
        <v>0</v>
      </c>
      <c r="H5">
        <v>0.01</v>
      </c>
      <c r="I5" s="5" t="s">
        <v>26</v>
      </c>
    </row>
    <row r="6" spans="1:9" x14ac:dyDescent="0.25">
      <c r="A6" t="s">
        <v>37</v>
      </c>
      <c r="B6" s="2" t="s">
        <v>38</v>
      </c>
      <c r="C6" t="s">
        <v>39</v>
      </c>
      <c r="D6" s="2" t="s">
        <v>40</v>
      </c>
      <c r="E6" s="6">
        <v>0</v>
      </c>
      <c r="F6" s="6">
        <v>0</v>
      </c>
      <c r="G6">
        <v>0</v>
      </c>
      <c r="H6">
        <v>0.01</v>
      </c>
      <c r="I6" s="5" t="s">
        <v>26</v>
      </c>
    </row>
    <row r="7" spans="1:9" x14ac:dyDescent="0.25">
      <c r="A7" t="s">
        <v>41</v>
      </c>
      <c r="B7" s="2" t="s">
        <v>42</v>
      </c>
      <c r="C7" t="s">
        <v>42</v>
      </c>
      <c r="D7" s="2" t="s">
        <v>43</v>
      </c>
      <c r="E7" s="6">
        <v>6332770753.4</v>
      </c>
      <c r="F7" s="6">
        <v>6332770753.4</v>
      </c>
      <c r="G7">
        <v>0</v>
      </c>
      <c r="H7">
        <v>0.01</v>
      </c>
      <c r="I7" s="5" t="s">
        <v>26</v>
      </c>
    </row>
    <row r="8" spans="1:9" x14ac:dyDescent="0.25">
      <c r="A8" t="s">
        <v>44</v>
      </c>
      <c r="B8" s="2" t="s">
        <v>45</v>
      </c>
      <c r="C8" t="s">
        <v>45</v>
      </c>
      <c r="D8" s="2" t="s">
        <v>46</v>
      </c>
      <c r="E8" s="6">
        <v>4391703679.79</v>
      </c>
      <c r="F8" s="6">
        <v>4391703679.79</v>
      </c>
      <c r="G8">
        <v>0</v>
      </c>
      <c r="H8">
        <v>0.01</v>
      </c>
      <c r="I8" s="5" t="s">
        <v>26</v>
      </c>
    </row>
    <row r="9" spans="1:9" x14ac:dyDescent="0.25">
      <c r="A9" t="s">
        <v>47</v>
      </c>
      <c r="B9" s="2" t="s">
        <v>48</v>
      </c>
      <c r="C9" t="s">
        <v>49</v>
      </c>
      <c r="D9" s="2" t="s">
        <v>50</v>
      </c>
      <c r="E9" s="7">
        <v>0.024755</v>
      </c>
      <c r="F9" s="7">
        <v>0.024754552050669846</v>
      </c>
      <c r="G9">
        <v>0</v>
      </c>
      <c r="H9">
        <v>0.000001</v>
      </c>
      <c r="I9" s="5" t="s">
        <v>26</v>
      </c>
    </row>
    <row r="10" spans="1:9" x14ac:dyDescent="0.25">
      <c r="A10" t="s">
        <v>51</v>
      </c>
      <c r="B10" s="2" t="s">
        <v>52</v>
      </c>
      <c r="C10" t="s">
        <v>52</v>
      </c>
      <c r="D10" s="2" t="s">
        <v>53</v>
      </c>
      <c r="E10" s="4">
        <v>3130776</v>
      </c>
      <c r="F10" s="4">
        <v>3130776</v>
      </c>
      <c r="G10">
        <v>0</v>
      </c>
      <c r="H10">
        <v>0</v>
      </c>
      <c r="I10" s="5" t="s">
        <v>26</v>
      </c>
    </row>
    <row r="11" spans="1:9" x14ac:dyDescent="0.25">
      <c r="A11" t="s">
        <v>54</v>
      </c>
      <c r="B11" s="2" t="s">
        <v>55</v>
      </c>
      <c r="C11" t="s">
        <v>55</v>
      </c>
      <c r="D11" s="2" t="s">
        <v>56</v>
      </c>
      <c r="E11" s="4">
        <v>2715219</v>
      </c>
      <c r="F11" s="4">
        <v>2715219</v>
      </c>
      <c r="G11">
        <v>0</v>
      </c>
      <c r="H11">
        <v>0</v>
      </c>
      <c r="I11" s="5" t="s">
        <v>26</v>
      </c>
    </row>
    <row r="12" spans="1:9" x14ac:dyDescent="0.25">
      <c r="A12" t="s">
        <v>57</v>
      </c>
      <c r="B12" s="2" t="s">
        <v>58</v>
      </c>
      <c r="C12" t="s">
        <v>58</v>
      </c>
      <c r="D12" s="2" t="s">
        <v>59</v>
      </c>
      <c r="E12" s="7">
        <v>0.642488</v>
      </c>
      <c r="F12" s="7">
        <v>0.6424879032258065</v>
      </c>
      <c r="G12">
        <v>0</v>
      </c>
      <c r="H12">
        <v>0.000001</v>
      </c>
      <c r="I12" s="5" t="s">
        <v>26</v>
      </c>
    </row>
    <row r="13" spans="1:9" x14ac:dyDescent="0.25">
      <c r="A13" t="s">
        <v>60</v>
      </c>
      <c r="B13" s="2" t="s">
        <v>61</v>
      </c>
      <c r="C13" t="s">
        <v>29</v>
      </c>
      <c r="D13" s="2" t="s">
        <v>62</v>
      </c>
      <c r="E13" s="6">
        <v>58039611.22</v>
      </c>
      <c r="F13" s="6">
        <v>58039611.22</v>
      </c>
      <c r="G13">
        <v>0</v>
      </c>
      <c r="H13">
        <v>0.01</v>
      </c>
      <c r="I13" s="5" t="s">
        <v>26</v>
      </c>
    </row>
    <row r="14" spans="1:9" x14ac:dyDescent="0.25">
      <c r="A14" t="s">
        <v>63</v>
      </c>
      <c r="B14" s="2" t="s">
        <v>64</v>
      </c>
      <c r="C14" t="s">
        <v>29</v>
      </c>
      <c r="D14" s="2" t="s">
        <v>65</v>
      </c>
      <c r="E14" s="6">
        <v>44207864.48</v>
      </c>
      <c r="F14" s="6">
        <v>44207864.48</v>
      </c>
      <c r="G14">
        <v>0</v>
      </c>
      <c r="H14">
        <v>0.01</v>
      </c>
      <c r="I14" s="5" t="s">
        <v>26</v>
      </c>
    </row>
    <row r="15" spans="1:9" x14ac:dyDescent="0.25">
      <c r="A15" t="s">
        <v>66</v>
      </c>
      <c r="B15" s="2" t="s">
        <v>67</v>
      </c>
      <c r="C15" t="s">
        <v>29</v>
      </c>
      <c r="D15" s="2" t="s">
        <v>68</v>
      </c>
      <c r="E15" s="6">
        <v>54517427.54</v>
      </c>
      <c r="F15" s="6">
        <v>54517427.54</v>
      </c>
      <c r="G15">
        <v>0</v>
      </c>
      <c r="H15">
        <v>0.01</v>
      </c>
      <c r="I15" s="5" t="s">
        <v>26</v>
      </c>
    </row>
    <row r="16" spans="1:9" x14ac:dyDescent="0.25">
      <c r="A16" t="s">
        <v>69</v>
      </c>
      <c r="B16" s="2" t="s">
        <v>70</v>
      </c>
      <c r="C16" t="s">
        <v>71</v>
      </c>
      <c r="D16" s="2" t="s">
        <v>72</v>
      </c>
      <c r="E16" s="7">
        <v>0.233207</v>
      </c>
      <c r="F16" s="7">
        <v>0.2332065387294184</v>
      </c>
      <c r="G16">
        <v>0</v>
      </c>
      <c r="H16">
        <v>0.000001</v>
      </c>
      <c r="I16" s="5" t="s">
        <v>26</v>
      </c>
    </row>
    <row r="17" spans="1:9" x14ac:dyDescent="0.25">
      <c r="A17" t="s">
        <v>73</v>
      </c>
      <c r="B17" s="2" t="s">
        <v>74</v>
      </c>
      <c r="C17" t="s">
        <v>75</v>
      </c>
      <c r="D17" s="2" t="s">
        <v>76</v>
      </c>
      <c r="E17" s="7">
        <v>0.233207</v>
      </c>
      <c r="F17" s="7">
        <v>0.2332065387294184</v>
      </c>
      <c r="G17">
        <v>0</v>
      </c>
      <c r="H17">
        <v>0.000001</v>
      </c>
      <c r="I17" s="5" t="s">
        <v>26</v>
      </c>
    </row>
    <row r="18" spans="1:9" x14ac:dyDescent="0.25">
      <c r="A18" t="s">
        <v>77</v>
      </c>
      <c r="B18" s="2" t="s">
        <v>78</v>
      </c>
      <c r="C18" t="s">
        <v>29</v>
      </c>
      <c r="D18" s="2" t="s">
        <v>79</v>
      </c>
      <c r="E18" s="4">
        <v>34622414.03</v>
      </c>
      <c r="F18" s="4">
        <v>34622414.03</v>
      </c>
      <c r="G18">
        <v>0</v>
      </c>
      <c r="H18">
        <v>0.01</v>
      </c>
      <c r="I18" s="5" t="s">
        <v>26</v>
      </c>
    </row>
    <row r="19" spans="1:9" x14ac:dyDescent="0.25">
      <c r="A19" t="s">
        <v>80</v>
      </c>
      <c r="B19" s="2" t="s">
        <v>81</v>
      </c>
      <c r="C19" t="s">
        <v>29</v>
      </c>
      <c r="D19" s="2" t="s">
        <v>82</v>
      </c>
      <c r="E19" s="4">
        <v>26483834.66</v>
      </c>
      <c r="F19" s="4">
        <v>26483834.66</v>
      </c>
      <c r="G19">
        <v>0</v>
      </c>
      <c r="H19">
        <v>0.01</v>
      </c>
      <c r="I19" s="5" t="s">
        <v>26</v>
      </c>
    </row>
    <row r="20" spans="1:9" x14ac:dyDescent="0.25">
      <c r="A20" t="s">
        <v>83</v>
      </c>
      <c r="B20" s="2" t="s">
        <v>84</v>
      </c>
      <c r="C20" t="s">
        <v>85</v>
      </c>
      <c r="D20" s="2" t="s">
        <v>86</v>
      </c>
      <c r="E20" t="s">
        <v>87</v>
      </c>
      <c r="F20" t="s">
        <v>87</v>
      </c>
      <c r="G20">
        <v>0</v>
      </c>
      <c r="H20">
        <v>0</v>
      </c>
      <c r="I20" s="5" t="s">
        <v>26</v>
      </c>
    </row>
    <row r="21" spans="1:9" x14ac:dyDescent="0.25">
      <c r="A21" t="s">
        <v>88</v>
      </c>
      <c r="B21" s="2" t="s">
        <v>89</v>
      </c>
      <c r="C21" t="s">
        <v>90</v>
      </c>
      <c r="D21" s="2" t="s">
        <v>91</v>
      </c>
      <c r="E21" s="4">
        <v>124</v>
      </c>
      <c r="F21" s="4">
        <v>124</v>
      </c>
      <c r="G21">
        <v>0</v>
      </c>
      <c r="H21">
        <v>0</v>
      </c>
      <c r="I21" s="5" t="s">
        <v>26</v>
      </c>
    </row>
    <row r="22" spans="1:9" x14ac:dyDescent="0.25">
      <c r="A22" t="s">
        <v>92</v>
      </c>
      <c r="B22" s="2" t="s">
        <v>93</v>
      </c>
      <c r="C22" t="s">
        <v>94</v>
      </c>
      <c r="D22" s="2" t="s">
        <v>95</v>
      </c>
      <c r="E22" s="4">
        <v>50</v>
      </c>
      <c r="F22" s="4">
        <v>50</v>
      </c>
      <c r="G22">
        <v>0</v>
      </c>
      <c r="H22">
        <v>0</v>
      </c>
      <c r="I22" s="5" t="s">
        <v>26</v>
      </c>
    </row>
    <row r="23" spans="1:9" x14ac:dyDescent="0.25">
      <c r="A23" t="s">
        <v>96</v>
      </c>
      <c r="B23" s="2" t="s">
        <v>97</v>
      </c>
      <c r="C23" t="s">
        <v>29</v>
      </c>
      <c r="D23" s="2" t="s">
        <v>98</v>
      </c>
      <c r="E23" s="4">
        <v>156764903.24</v>
      </c>
      <c r="F23" s="4">
        <v>156764903.24</v>
      </c>
      <c r="G23">
        <v>0</v>
      </c>
      <c r="H23">
        <v>0.01</v>
      </c>
      <c r="I23" s="5" t="s">
        <v>26</v>
      </c>
    </row>
    <row r="24" spans="1:9" x14ac:dyDescent="0.25">
      <c r="A24" t="s">
        <v>99</v>
      </c>
      <c r="B24" s="2" t="s">
        <v>100</v>
      </c>
      <c r="C24" t="s">
        <v>100</v>
      </c>
      <c r="D24" s="2" t="s">
        <v>101</v>
      </c>
      <c r="E24" s="7">
        <v>0.4449</v>
      </c>
      <c r="F24" s="7">
        <v>0.44489971510538984</v>
      </c>
      <c r="G24">
        <v>0</v>
      </c>
      <c r="H24">
        <v>0.000001</v>
      </c>
      <c r="I24" s="5" t="s">
        <v>26</v>
      </c>
    </row>
    <row r="25" spans="1:9" x14ac:dyDescent="0.25">
      <c r="A25" t="s">
        <v>102</v>
      </c>
      <c r="B25" s="2" t="s">
        <v>103</v>
      </c>
      <c r="C25" t="s">
        <v>104</v>
      </c>
      <c r="D25" s="2" t="s">
        <v>105</v>
      </c>
      <c r="E25" s="4">
        <v>7</v>
      </c>
      <c r="F25" s="4">
        <v>7</v>
      </c>
      <c r="G25">
        <v>0</v>
      </c>
      <c r="H25">
        <v>0</v>
      </c>
      <c r="I25" s="5" t="s">
        <v>26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pane ySplit="1" topLeftCell="A2" activePane="bottomLeft" state="frozen"/>
      <selection pane="bottomLeft"/>
    </sheetView>
  </sheetViews>
  <sheetFormatPr defaultRowHeight="15" outlineLevelRow="0" outlineLevelCol="0" x14ac:dyDescent="55"/>
  <cols>
    <col min="1" max="1" width="8" customWidth="1"/>
    <col min="2" max="3" width="18" customWidth="1"/>
    <col min="4" max="5" width="14" customWidth="1"/>
  </cols>
  <sheetData>
    <row r="1" ht="30" customHeight="1" spans="1:5" x14ac:dyDescent="0.25">
      <c r="A1" s="3" t="s">
        <v>106</v>
      </c>
      <c r="B1" s="3" t="s">
        <v>29</v>
      </c>
      <c r="C1" s="3" t="s">
        <v>107</v>
      </c>
      <c r="D1" s="3" t="s">
        <v>71</v>
      </c>
      <c r="E1" s="3" t="s">
        <v>49</v>
      </c>
    </row>
    <row r="2" spans="1:5" x14ac:dyDescent="0.25">
      <c r="A2">
        <v>2023</v>
      </c>
      <c r="B2" s="6">
        <v>58039611.22</v>
      </c>
      <c r="C2" s="6"/>
      <c r="D2" s="8"/>
      <c r="E2" s="8">
        <v>0.02645255155512012</v>
      </c>
    </row>
    <row r="3" spans="1:5" x14ac:dyDescent="0.25">
      <c r="A3">
        <v>2024</v>
      </c>
      <c r="B3" s="6">
        <v>44207864.48</v>
      </c>
      <c r="C3" s="6">
        <v>58039611.22</v>
      </c>
      <c r="D3" s="8">
        <v>-0.23831563391371732</v>
      </c>
      <c r="E3" s="8">
        <v>0.023633983383204733</v>
      </c>
    </row>
    <row r="4" spans="1:5" x14ac:dyDescent="0.25">
      <c r="A4">
        <v>2025</v>
      </c>
      <c r="B4" s="6">
        <v>54517427.54</v>
      </c>
      <c r="C4" s="6">
        <v>44207864.48</v>
      </c>
      <c r="D4" s="8">
        <v>0.2332065387294184</v>
      </c>
      <c r="E4" s="8">
        <v>0.02403610758025594</v>
      </c>
    </row>
    <row r="5" spans="1:2" s="1" customFormat="1" x14ac:dyDescent="0.25">
      <c r="A5" s="1" t="s">
        <v>108</v>
      </c>
      <c r="B5" s="9">
        <f>SUM(B2:B4)</f>
      </c>
    </row>
    <row r="7" spans="1:1" x14ac:dyDescent="0.25">
      <c r="A7" t="s">
        <v>109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48" customWidth="1"/>
    <col min="3" max="3" width="50" customWidth="1"/>
    <col min="4" max="4" width="60" customWidth="1"/>
    <col min="5" max="5" width="8" customWidth="1"/>
  </cols>
  <sheetData>
    <row r="1" ht="30" customHeight="1" spans="1:5" x14ac:dyDescent="0.25">
      <c r="A1" s="3" t="s">
        <v>110</v>
      </c>
      <c r="B1" s="3" t="s">
        <v>111</v>
      </c>
      <c r="C1" s="3" t="s">
        <v>112</v>
      </c>
      <c r="D1" s="3" t="s">
        <v>113</v>
      </c>
      <c r="E1" s="3" t="s">
        <v>114</v>
      </c>
    </row>
    <row r="2" spans="1:5" s="2" customFormat="1" x14ac:dyDescent="0.25">
      <c r="A2" s="2">
        <v>1</v>
      </c>
      <c r="B2" s="2" t="s">
        <v>115</v>
      </c>
      <c r="C2" s="2" t="s">
        <v>116</v>
      </c>
      <c r="D2" s="2" t="s">
        <v>117</v>
      </c>
      <c r="E2" s="2" t="s">
        <v>80</v>
      </c>
    </row>
    <row r="3" spans="1:5" s="2" customFormat="1" x14ac:dyDescent="0.25">
      <c r="A3" s="2">
        <v>2</v>
      </c>
      <c r="B3" s="2" t="s">
        <v>118</v>
      </c>
      <c r="C3" s="2" t="s">
        <v>119</v>
      </c>
      <c r="D3" s="2" t="s">
        <v>120</v>
      </c>
      <c r="E3" s="2" t="s">
        <v>96</v>
      </c>
    </row>
    <row r="4" spans="1:5" s="2" customFormat="1" x14ac:dyDescent="0.25">
      <c r="A4" s="2">
        <v>3</v>
      </c>
      <c r="B4" s="2" t="s">
        <v>121</v>
      </c>
      <c r="C4" s="2" t="s">
        <v>122</v>
      </c>
      <c r="D4" s="2" t="s">
        <v>123</v>
      </c>
      <c r="E4" s="2" t="s">
        <v>88</v>
      </c>
    </row>
    <row r="5" spans="1:5" s="2" customFormat="1" x14ac:dyDescent="0.25">
      <c r="A5" s="2">
        <v>4</v>
      </c>
      <c r="B5" s="2" t="s">
        <v>124</v>
      </c>
      <c r="C5" s="2" t="s">
        <v>125</v>
      </c>
      <c r="D5" s="2" t="s">
        <v>126</v>
      </c>
      <c r="E5" s="2" t="s">
        <v>92</v>
      </c>
    </row>
    <row r="6" spans="1:5" s="2" customFormat="1" x14ac:dyDescent="0.25">
      <c r="A6" s="2">
        <v>5</v>
      </c>
      <c r="B6" s="2" t="s">
        <v>127</v>
      </c>
      <c r="C6" s="2" t="s">
        <v>128</v>
      </c>
      <c r="D6" s="2" t="s">
        <v>129</v>
      </c>
      <c r="E6" s="2" t="s">
        <v>130</v>
      </c>
    </row>
    <row r="7" spans="1:5" s="2" customFormat="1" x14ac:dyDescent="0.25">
      <c r="A7" s="2">
        <v>6</v>
      </c>
      <c r="B7" s="2" t="s">
        <v>131</v>
      </c>
      <c r="C7" s="2" t="s">
        <v>132</v>
      </c>
      <c r="D7" s="2" t="s">
        <v>133</v>
      </c>
      <c r="E7" s="2" t="s">
        <v>130</v>
      </c>
    </row>
    <row r="8" spans="1:5" s="2" customFormat="1" x14ac:dyDescent="0.25">
      <c r="A8" s="2">
        <v>7</v>
      </c>
      <c r="B8" s="2" t="s">
        <v>134</v>
      </c>
      <c r="C8" s="2" t="s">
        <v>135</v>
      </c>
      <c r="D8" s="2" t="s">
        <v>136</v>
      </c>
      <c r="E8" s="2" t="s">
        <v>137</v>
      </c>
    </row>
    <row r="9" spans="1:5" s="2" customFormat="1" x14ac:dyDescent="0.25">
      <c r="A9" s="2">
        <v>8</v>
      </c>
      <c r="B9" s="2" t="s">
        <v>138</v>
      </c>
      <c r="C9" s="2" t="s">
        <v>139</v>
      </c>
      <c r="D9" s="2" t="s">
        <v>140</v>
      </c>
      <c r="E9" s="2" t="s">
        <v>130</v>
      </c>
    </row>
    <row r="10" spans="1:5" s="2" customFormat="1" x14ac:dyDescent="0.25">
      <c r="A10" s="2">
        <v>9</v>
      </c>
      <c r="B10" s="2" t="s">
        <v>141</v>
      </c>
      <c r="C10" s="2" t="s">
        <v>142</v>
      </c>
      <c r="D10" s="2" t="s">
        <v>143</v>
      </c>
      <c r="E10" s="2" t="s">
        <v>144</v>
      </c>
    </row>
    <row r="11" spans="1:5" s="2" customFormat="1" x14ac:dyDescent="0.25">
      <c r="A11" s="2">
        <v>10</v>
      </c>
      <c r="B11" s="2" t="s">
        <v>145</v>
      </c>
      <c r="C11" s="2" t="s">
        <v>146</v>
      </c>
      <c r="D11" s="2" t="s">
        <v>147</v>
      </c>
      <c r="E11" s="2" t="s">
        <v>102</v>
      </c>
    </row>
    <row r="12" spans="1:5" s="2" customFormat="1" x14ac:dyDescent="0.25">
      <c r="A12" s="2">
        <v>11</v>
      </c>
      <c r="B12" s="2" t="s">
        <v>148</v>
      </c>
      <c r="C12" s="2" t="s">
        <v>149</v>
      </c>
      <c r="D12" s="2" t="s">
        <v>150</v>
      </c>
      <c r="E12" s="2" t="s">
        <v>57</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pane ySplit="1" topLeftCell="A2" activePane="bottomLeft" state="frozen"/>
      <selection pane="bottomLeft"/>
    </sheetView>
  </sheetViews>
  <sheetFormatPr defaultRowHeight="15" outlineLevelRow="0" outlineLevelCol="0" x14ac:dyDescent="55"/>
  <cols>
    <col min="1" max="2" width="40" customWidth="1"/>
    <col min="3" max="3" width="14" customWidth="1"/>
    <col min="4" max="4" width="16" customWidth="1"/>
  </cols>
  <sheetData>
    <row r="1" ht="30" customHeight="1" spans="1:4" x14ac:dyDescent="0.25">
      <c r="A1" s="3" t="s">
        <v>151</v>
      </c>
      <c r="B1" s="3" t="s">
        <v>152</v>
      </c>
      <c r="C1" s="3" t="s">
        <v>153</v>
      </c>
      <c r="D1" s="3" t="s">
        <v>154</v>
      </c>
    </row>
    <row r="2" spans="1:4" x14ac:dyDescent="0.25">
      <c r="A2" t="s">
        <v>155</v>
      </c>
      <c r="B2" t="s">
        <v>156</v>
      </c>
      <c r="C2" t="s">
        <v>157</v>
      </c>
      <c r="D2" t="s">
        <v>158</v>
      </c>
    </row>
    <row r="3" spans="1:4" x14ac:dyDescent="0.25">
      <c r="A3" t="s">
        <v>159</v>
      </c>
      <c r="B3" t="s">
        <v>160</v>
      </c>
      <c r="C3" t="s">
        <v>157</v>
      </c>
      <c r="D3" t="s">
        <v>158</v>
      </c>
    </row>
    <row r="4" spans="1:4" x14ac:dyDescent="0.25">
      <c r="A4" t="s">
        <v>161</v>
      </c>
      <c r="B4" t="s">
        <v>162</v>
      </c>
      <c r="C4" t="s">
        <v>157</v>
      </c>
      <c r="D4" t="s">
        <v>158</v>
      </c>
    </row>
    <row r="5" spans="1:4" x14ac:dyDescent="0.25">
      <c r="A5" t="s">
        <v>163</v>
      </c>
      <c r="B5" t="s">
        <v>164</v>
      </c>
      <c r="C5" t="s">
        <v>157</v>
      </c>
      <c r="D5" t="s">
        <v>158</v>
      </c>
    </row>
    <row r="6" spans="1:4" x14ac:dyDescent="0.25">
      <c r="A6" t="s">
        <v>165</v>
      </c>
      <c r="B6" t="s">
        <v>166</v>
      </c>
      <c r="C6" t="s">
        <v>157</v>
      </c>
      <c r="D6" t="s">
        <v>158</v>
      </c>
    </row>
    <row r="7" spans="1:4" x14ac:dyDescent="0.25">
      <c r="A7" t="s">
        <v>167</v>
      </c>
      <c r="B7" t="s">
        <v>168</v>
      </c>
      <c r="C7" t="s">
        <v>157</v>
      </c>
      <c r="D7" t="s">
        <v>158</v>
      </c>
    </row>
    <row r="8" spans="1:4" x14ac:dyDescent="0.25">
      <c r="A8" t="s">
        <v>169</v>
      </c>
      <c r="B8" t="s">
        <v>170</v>
      </c>
      <c r="C8" t="s">
        <v>157</v>
      </c>
      <c r="D8" t="s">
        <v>158</v>
      </c>
    </row>
    <row r="9" spans="1:4" x14ac:dyDescent="0.25">
      <c r="A9" t="s">
        <v>171</v>
      </c>
      <c r="B9" t="s">
        <v>172</v>
      </c>
      <c r="C9" t="s">
        <v>157</v>
      </c>
      <c r="D9" t="s">
        <v>158</v>
      </c>
    </row>
    <row r="10" spans="1:4" x14ac:dyDescent="0.25">
      <c r="A10" t="s">
        <v>173</v>
      </c>
      <c r="B10" t="s">
        <v>174</v>
      </c>
      <c r="C10" t="s">
        <v>157</v>
      </c>
      <c r="D10" t="s">
        <v>158</v>
      </c>
    </row>
    <row r="11" spans="1:4" x14ac:dyDescent="0.25">
      <c r="A11" t="s">
        <v>175</v>
      </c>
      <c r="B11" t="s">
        <v>176</v>
      </c>
      <c r="C11" t="s">
        <v>157</v>
      </c>
      <c r="D11" t="s">
        <v>158</v>
      </c>
    </row>
    <row r="13" spans="1:2" x14ac:dyDescent="0.25">
      <c r="A13" t="s">
        <v>177</v>
      </c>
      <c r="B13">
        <v>248</v>
      </c>
    </row>
    <row r="14" spans="1:2" x14ac:dyDescent="0.25">
      <c r="A14" t="s">
        <v>178</v>
      </c>
      <c r="B14">
        <v>1096</v>
      </c>
    </row>
    <row r="15" spans="1:2" x14ac:dyDescent="0.25">
      <c r="A15" t="s">
        <v>179</v>
      </c>
      <c r="B15">
        <v>7</v>
      </c>
    </row>
    <row r="16" spans="1:2" x14ac:dyDescent="0.25">
      <c r="A16" t="s">
        <v>180</v>
      </c>
      <c r="B16">
        <v>10</v>
      </c>
    </row>
    <row r="17" spans="1:2" x14ac:dyDescent="0.25">
      <c r="A17" t="s">
        <v>181</v>
      </c>
      <c r="B17">
        <v>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Tests</vt:lpstr>
      <vt:lpstr>Savings by Year</vt:lpstr>
      <vt:lpstr>Data Quality</vt:lpstr>
      <vt:lpstr>Model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Gowtham</dc:creator>
  <dc:title/>
  <dc:subject/>
  <dc:description/>
  <cp:keywords/>
  <cp:category/>
  <cp:lastModifiedBy>Unknown</cp:lastModifiedBy>
  <dcterms:created xsi:type="dcterms:W3CDTF">2026-10-06T05:39:09Z</dcterms:created>
  <dcterms:modified xsi:type="dcterms:W3CDTF">2026-10-06T05:39:09Z</dcterms:modified>
</cp:coreProperties>
</file>